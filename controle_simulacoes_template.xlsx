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ising-monte-carlo\"/>
    </mc:Choice>
  </mc:AlternateContent>
  <xr:revisionPtr revIDLastSave="0" documentId="13_ncr:1_{B468ED29-72E6-4E65-8447-BFBDD1E09AC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imulacoes" sheetId="1" r:id="rId1"/>
    <sheet name="Notas" sheetId="2" r:id="rId2"/>
  </sheets>
  <definedNames>
    <definedName name="status_col">Simulacoes!$L$7:$L$66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E4" i="1"/>
</calcChain>
</file>

<file path=xl/sharedStrings.xml><?xml version="1.0" encoding="utf-8"?>
<sst xmlns="http://schemas.openxmlformats.org/spreadsheetml/2006/main" count="319" uniqueCount="89">
  <si>
    <t>Preencha a coluna Status conforme for rodando cada simulação. Nomes de arquivo sugeridos seguem o padrão algoritmo_L&lt;L&gt;_T&lt;T&gt;.npz (ver notebooks).</t>
  </si>
  <si>
    <t>Total de simulações:</t>
  </si>
  <si>
    <t>Concluídas:</t>
  </si>
  <si>
    <t>Pendentes:</t>
  </si>
  <si>
    <t>Algoritmo</t>
  </si>
  <si>
    <t>L</t>
  </si>
  <si>
    <t>N = L^2</t>
  </si>
  <si>
    <t>T</t>
  </si>
  <si>
    <t>Regime</t>
  </si>
  <si>
    <t>N_eq</t>
  </si>
  <si>
    <t>N_prod</t>
  </si>
  <si>
    <t>Intervalo
amostragem</t>
  </si>
  <si>
    <t>Unidade</t>
  </si>
  <si>
    <t>Arquivo sugerido (.npz)</t>
  </si>
  <si>
    <t>Status</t>
  </si>
  <si>
    <t>Metropolis</t>
  </si>
  <si>
    <t>Subcritico</t>
  </si>
  <si>
    <t>MCS/site</t>
  </si>
  <si>
    <t>metropolis_L16_T1.5.npz</t>
  </si>
  <si>
    <t>Pendente</t>
  </si>
  <si>
    <t>metropolis_L16_T2.0.npz</t>
  </si>
  <si>
    <t>Critico</t>
  </si>
  <si>
    <t>metropolis_L16_T2.269.npz</t>
  </si>
  <si>
    <t>Supercritico</t>
  </si>
  <si>
    <t>metropolis_L16_T2.5.npz</t>
  </si>
  <si>
    <t>metropolis_L16_T3.0.npz</t>
  </si>
  <si>
    <t>metropolis_L32_T1.5.npz</t>
  </si>
  <si>
    <t>metropolis_L32_T2.0.npz</t>
  </si>
  <si>
    <t>metropolis_L32_T2.269.npz</t>
  </si>
  <si>
    <t>metropolis_L32_T2.5.npz</t>
  </si>
  <si>
    <t>metropolis_L32_T3.0.npz</t>
  </si>
  <si>
    <t>metropolis_L64_T1.5.npz</t>
  </si>
  <si>
    <t>metropolis_L64_T2.0.npz</t>
  </si>
  <si>
    <t>metropolis_L64_T2.269.npz</t>
  </si>
  <si>
    <t>metropolis_L64_T2.5.npz</t>
  </si>
  <si>
    <t>metropolis_L64_T3.0.npz</t>
  </si>
  <si>
    <t>metropolis_L128_T1.5.npz</t>
  </si>
  <si>
    <t>metropolis_L128_T2.0.npz</t>
  </si>
  <si>
    <t>metropolis_L128_T2.269.npz</t>
  </si>
  <si>
    <t>metropolis_L128_T2.5.npz</t>
  </si>
  <si>
    <t>metropolis_L128_T3.0.npz</t>
  </si>
  <si>
    <t>Wolff</t>
  </si>
  <si>
    <t>passos de Wolff (NAO e MCS/site -- ver nota)</t>
  </si>
  <si>
    <t>wolff_L16_T1.5.npz</t>
  </si>
  <si>
    <t>wolff_L16_T2.0.npz</t>
  </si>
  <si>
    <t>wolff_L16_T2.269.npz</t>
  </si>
  <si>
    <t>wolff_L16_T2.5.npz</t>
  </si>
  <si>
    <t>wolff_L16_T3.0.npz</t>
  </si>
  <si>
    <t>wolff_L32_T1.5.npz</t>
  </si>
  <si>
    <t>wolff_L32_T2.0.npz</t>
  </si>
  <si>
    <t>wolff_L32_T2.269.npz</t>
  </si>
  <si>
    <t>wolff_L32_T2.5.npz</t>
  </si>
  <si>
    <t>wolff_L32_T3.0.npz</t>
  </si>
  <si>
    <t>wolff_L64_T1.5.npz</t>
  </si>
  <si>
    <t>wolff_L64_T2.0.npz</t>
  </si>
  <si>
    <t>wolff_L64_T2.269.npz</t>
  </si>
  <si>
    <t>wolff_L64_T2.5.npz</t>
  </si>
  <si>
    <t>wolff_L64_T3.0.npz</t>
  </si>
  <si>
    <t>wolff_L128_T1.5.npz</t>
  </si>
  <si>
    <t>wolff_L128_T2.0.npz</t>
  </si>
  <si>
    <t>wolff_L128_T2.269.npz</t>
  </si>
  <si>
    <t>wolff_L128_T2.5.npz</t>
  </si>
  <si>
    <t>wolff_L128_T3.0.npz</t>
  </si>
  <si>
    <t>Swendsen-Wang</t>
  </si>
  <si>
    <t>passos SW (= MCS/site)</t>
  </si>
  <si>
    <t>swendsen_wang_L16_T1.5.npz</t>
  </si>
  <si>
    <t>swendsen_wang_L16_T2.0.npz</t>
  </si>
  <si>
    <t>swendsen_wang_L16_T2.269.npz</t>
  </si>
  <si>
    <t>swendsen_wang_L16_T2.5.npz</t>
  </si>
  <si>
    <t>swendsen_wang_L16_T3.0.npz</t>
  </si>
  <si>
    <t>swendsen_wang_L32_T1.5.npz</t>
  </si>
  <si>
    <t>swendsen_wang_L32_T2.0.npz</t>
  </si>
  <si>
    <t>swendsen_wang_L32_T2.269.npz</t>
  </si>
  <si>
    <t>swendsen_wang_L32_T2.5.npz</t>
  </si>
  <si>
    <t>swendsen_wang_L32_T3.0.npz</t>
  </si>
  <si>
    <t>swendsen_wang_L64_T1.5.npz</t>
  </si>
  <si>
    <t>swendsen_wang_L64_T2.0.npz</t>
  </si>
  <si>
    <t>swendsen_wang_L64_T2.269.npz</t>
  </si>
  <si>
    <t>swendsen_wang_L64_T2.5.npz</t>
  </si>
  <si>
    <t>swendsen_wang_L64_T3.0.npz</t>
  </si>
  <si>
    <t>swendsen_wang_L128_T1.5.npz</t>
  </si>
  <si>
    <t>swendsen_wang_L128_T2.0.npz</t>
  </si>
  <si>
    <t>swendsen_wang_L128_T2.269.npz</t>
  </si>
  <si>
    <t>swendsen_wang_L128_T2.5.npz</t>
  </si>
  <si>
    <t>swendsen_wang_L128_T3.0.npz</t>
  </si>
  <si>
    <t>Nota sobre os parâmetros do Wolff</t>
  </si>
  <si>
    <t>Tempo total (s)</t>
  </si>
  <si>
    <t>A Seção 4.5.3 do TCC define N_eq = 1e5 e N_prod = 1e6 em unidades de MCS/site, referência comum aos tres algoritmos. Essa unidade se aplica diretamente ao Metropolis e ao Swendsen-Wang (1 passo de Swendsen-Wang = 1 MCS/site, Secao 4.3.3.4).
O algoritmo de Wolff, no entanto, tem escala temporal propria: 1 passo de Wolff corresponde a construcao e inversao de UM aglomerado, nao a uma varredura completa da rede (Secao 4.3.2). Usar 1e5/1e6 passos de Wolff literalmente seria desnecessariamente lento, especialmente perto de Tc em redes grandes, onde cada aglomerado pode conter uma fracao significativa dos N sitios.
Os valores adotados nesta planilha para o Wolff (N_eq=1000, N_prod=20000 passos) sao uma escolha pratica, baseada no fato de que z_Wolff ~ 0.25 (muito menor que z_Metropolis ~ 2.17), de modo que o tempo de autocorrelacao do Wolff em passos proprios e pequeno mesmo para redes grandes. Esses valores podem ser revisados  e podem ser ajustados aqui se, na pratica, se mostrarem insuficientes (por exemplo, se o desvio-padrao das medidas nao diminuir ao aumentar N_prod).</t>
  </si>
  <si>
    <t>Controle de Simulações Oficiais — TCC Ising (Seção 4.5 - Metodologia)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</si>
</sst>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Normal="100" workbookViewId="0">
      <pane ySplit="6" topLeftCell="A28" activePane="bottomLeft" state="frozen"/>
      <selection pane="bottomLeft" activeCell="O39" sqref="O39"/>
    </sheetView>
  </sheetViews>
  <sheetFormatPr defaultColWidth="8.7109375" defaultRowHeight="15" x14ac:dyDescent="0.25"/>
  <cols>
    <col min="1" max="1" width="24.140625" customWidth="1"/>
    <col min="2" max="2" width="7.28515625" customWidth="1"/>
    <col min="3" max="3" width="11.28515625" customWidth="1"/>
    <col min="4" max="4" width="14.85546875" customWidth="1"/>
    <col min="5" max="5" width="14" customWidth="1"/>
    <col min="6" max="6" width="15.7109375" customWidth="1"/>
    <col min="7" max="7" width="10" customWidth="1"/>
    <col min="8" max="8" width="12" customWidth="1"/>
    <col min="9" max="9" width="48.7109375" customWidth="1"/>
    <col min="10" max="10" width="38.85546875" customWidth="1"/>
    <col min="11" max="11" width="18.5703125" customWidth="1"/>
    <col min="12" max="12" width="15.85546875" customWidth="1"/>
  </cols>
  <sheetData>
    <row r="1" spans="1:12" ht="25.5" customHeight="1" x14ac:dyDescent="0.25">
      <c r="A1" s="9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x14ac:dyDescent="0.25">
      <c r="A4" s="1" t="s">
        <v>1</v>
      </c>
      <c r="B4" s="1">
        <v>60</v>
      </c>
      <c r="D4" s="1" t="s">
        <v>2</v>
      </c>
      <c r="E4" s="1">
        <f>COUNTIF(status_col,"Concluído")</f>
        <v>0</v>
      </c>
      <c r="F4" s="1" t="s">
        <v>3</v>
      </c>
      <c r="G4" s="1">
        <f>COUNTIF(status_col,"Pendente")</f>
        <v>60</v>
      </c>
    </row>
    <row r="6" spans="1:12" ht="30" customHeight="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86</v>
      </c>
      <c r="L6" s="2" t="s">
        <v>14</v>
      </c>
    </row>
    <row r="7" spans="1:12" x14ac:dyDescent="0.25">
      <c r="A7" s="3" t="s">
        <v>15</v>
      </c>
      <c r="B7" s="3">
        <v>16</v>
      </c>
      <c r="C7" s="3">
        <v>256</v>
      </c>
      <c r="D7" s="3">
        <v>1.5</v>
      </c>
      <c r="E7" s="3" t="s">
        <v>16</v>
      </c>
      <c r="F7" s="3">
        <v>100000</v>
      </c>
      <c r="G7" s="3">
        <v>1000000</v>
      </c>
      <c r="H7" s="3">
        <v>10</v>
      </c>
      <c r="I7" s="3" t="s">
        <v>17</v>
      </c>
      <c r="J7" s="4" t="s">
        <v>18</v>
      </c>
      <c r="K7" s="4"/>
      <c r="L7" s="3" t="s">
        <v>19</v>
      </c>
    </row>
    <row r="8" spans="1:12" x14ac:dyDescent="0.25">
      <c r="A8" s="5" t="s">
        <v>15</v>
      </c>
      <c r="B8" s="5">
        <v>16</v>
      </c>
      <c r="C8" s="5">
        <v>256</v>
      </c>
      <c r="D8" s="5">
        <v>2</v>
      </c>
      <c r="E8" s="5" t="s">
        <v>16</v>
      </c>
      <c r="F8" s="5">
        <v>100000</v>
      </c>
      <c r="G8" s="5">
        <v>1000000</v>
      </c>
      <c r="H8" s="5">
        <v>10</v>
      </c>
      <c r="I8" s="5" t="s">
        <v>17</v>
      </c>
      <c r="J8" s="6" t="s">
        <v>20</v>
      </c>
      <c r="K8" s="6"/>
      <c r="L8" s="5" t="s">
        <v>19</v>
      </c>
    </row>
    <row r="9" spans="1:12" x14ac:dyDescent="0.25">
      <c r="A9" s="3" t="s">
        <v>15</v>
      </c>
      <c r="B9" s="3">
        <v>16</v>
      </c>
      <c r="C9" s="3">
        <v>256</v>
      </c>
      <c r="D9" s="3">
        <v>2.2690000000000001</v>
      </c>
      <c r="E9" s="3" t="s">
        <v>21</v>
      </c>
      <c r="F9" s="3">
        <v>100000</v>
      </c>
      <c r="G9" s="3">
        <v>1000000</v>
      </c>
      <c r="H9" s="3">
        <v>10</v>
      </c>
      <c r="I9" s="3" t="s">
        <v>17</v>
      </c>
      <c r="J9" s="4" t="s">
        <v>22</v>
      </c>
      <c r="K9" s="4"/>
      <c r="L9" s="3" t="s">
        <v>19</v>
      </c>
    </row>
    <row r="10" spans="1:12" x14ac:dyDescent="0.25">
      <c r="A10" s="5" t="s">
        <v>15</v>
      </c>
      <c r="B10" s="5">
        <v>16</v>
      </c>
      <c r="C10" s="5">
        <v>256</v>
      </c>
      <c r="D10" s="5">
        <v>2.5</v>
      </c>
      <c r="E10" s="5" t="s">
        <v>23</v>
      </c>
      <c r="F10" s="5">
        <v>100000</v>
      </c>
      <c r="G10" s="5">
        <v>1000000</v>
      </c>
      <c r="H10" s="5">
        <v>10</v>
      </c>
      <c r="I10" s="5" t="s">
        <v>17</v>
      </c>
      <c r="J10" s="6" t="s">
        <v>24</v>
      </c>
      <c r="K10" s="6"/>
      <c r="L10" s="5" t="s">
        <v>19</v>
      </c>
    </row>
    <row r="11" spans="1:12" x14ac:dyDescent="0.25">
      <c r="A11" s="3" t="s">
        <v>15</v>
      </c>
      <c r="B11" s="3">
        <v>16</v>
      </c>
      <c r="C11" s="3">
        <v>256</v>
      </c>
      <c r="D11" s="3">
        <v>3</v>
      </c>
      <c r="E11" s="3" t="s">
        <v>23</v>
      </c>
      <c r="F11" s="3">
        <v>100000</v>
      </c>
      <c r="G11" s="3">
        <v>1000000</v>
      </c>
      <c r="H11" s="3">
        <v>10</v>
      </c>
      <c r="I11" s="3" t="s">
        <v>17</v>
      </c>
      <c r="J11" s="4" t="s">
        <v>25</v>
      </c>
      <c r="K11" s="4"/>
      <c r="L11" s="3" t="s">
        <v>19</v>
      </c>
    </row>
    <row r="12" spans="1:12" x14ac:dyDescent="0.25">
      <c r="A12" s="5" t="s">
        <v>15</v>
      </c>
      <c r="B12" s="5">
        <v>32</v>
      </c>
      <c r="C12" s="5">
        <v>1024</v>
      </c>
      <c r="D12" s="5">
        <v>1.5</v>
      </c>
      <c r="E12" s="5" t="s">
        <v>16</v>
      </c>
      <c r="F12" s="5">
        <v>100000</v>
      </c>
      <c r="G12" s="5">
        <v>1000000</v>
      </c>
      <c r="H12" s="5">
        <v>10</v>
      </c>
      <c r="I12" s="5" t="s">
        <v>17</v>
      </c>
      <c r="J12" s="6" t="s">
        <v>26</v>
      </c>
      <c r="K12" s="6"/>
      <c r="L12" s="5" t="s">
        <v>19</v>
      </c>
    </row>
    <row r="13" spans="1:12" x14ac:dyDescent="0.25">
      <c r="A13" s="3" t="s">
        <v>15</v>
      </c>
      <c r="B13" s="3">
        <v>32</v>
      </c>
      <c r="C13" s="3">
        <v>1024</v>
      </c>
      <c r="D13" s="3">
        <v>2</v>
      </c>
      <c r="E13" s="3" t="s">
        <v>16</v>
      </c>
      <c r="F13" s="3">
        <v>100000</v>
      </c>
      <c r="G13" s="3">
        <v>1000000</v>
      </c>
      <c r="H13" s="3">
        <v>10</v>
      </c>
      <c r="I13" s="3" t="s">
        <v>17</v>
      </c>
      <c r="J13" s="4" t="s">
        <v>27</v>
      </c>
      <c r="K13" s="4"/>
      <c r="L13" s="3" t="s">
        <v>19</v>
      </c>
    </row>
    <row r="14" spans="1:12" x14ac:dyDescent="0.25">
      <c r="A14" s="5" t="s">
        <v>15</v>
      </c>
      <c r="B14" s="5">
        <v>32</v>
      </c>
      <c r="C14" s="5">
        <v>1024</v>
      </c>
      <c r="D14" s="5">
        <v>2.2690000000000001</v>
      </c>
      <c r="E14" s="5" t="s">
        <v>21</v>
      </c>
      <c r="F14" s="5">
        <v>100000</v>
      </c>
      <c r="G14" s="5">
        <v>1000000</v>
      </c>
      <c r="H14" s="5">
        <v>10</v>
      </c>
      <c r="I14" s="5" t="s">
        <v>17</v>
      </c>
      <c r="J14" s="6" t="s">
        <v>28</v>
      </c>
      <c r="K14" s="6"/>
      <c r="L14" s="5" t="s">
        <v>19</v>
      </c>
    </row>
    <row r="15" spans="1:12" x14ac:dyDescent="0.25">
      <c r="A15" s="3" t="s">
        <v>15</v>
      </c>
      <c r="B15" s="3">
        <v>32</v>
      </c>
      <c r="C15" s="3">
        <v>1024</v>
      </c>
      <c r="D15" s="3">
        <v>2.5</v>
      </c>
      <c r="E15" s="3" t="s">
        <v>23</v>
      </c>
      <c r="F15" s="3">
        <v>100000</v>
      </c>
      <c r="G15" s="3">
        <v>1000000</v>
      </c>
      <c r="H15" s="3">
        <v>10</v>
      </c>
      <c r="I15" s="3" t="s">
        <v>17</v>
      </c>
      <c r="J15" s="4" t="s">
        <v>29</v>
      </c>
      <c r="K15" s="4"/>
      <c r="L15" s="3" t="s">
        <v>19</v>
      </c>
    </row>
    <row r="16" spans="1:12" x14ac:dyDescent="0.25">
      <c r="A16" s="5" t="s">
        <v>15</v>
      </c>
      <c r="B16" s="5">
        <v>32</v>
      </c>
      <c r="C16" s="5">
        <v>1024</v>
      </c>
      <c r="D16" s="5">
        <v>3</v>
      </c>
      <c r="E16" s="5" t="s">
        <v>23</v>
      </c>
      <c r="F16" s="5">
        <v>100000</v>
      </c>
      <c r="G16" s="5">
        <v>1000000</v>
      </c>
      <c r="H16" s="5">
        <v>10</v>
      </c>
      <c r="I16" s="5" t="s">
        <v>17</v>
      </c>
      <c r="J16" s="6" t="s">
        <v>30</v>
      </c>
      <c r="K16" s="6"/>
      <c r="L16" s="5" t="s">
        <v>19</v>
      </c>
    </row>
    <row r="17" spans="1:12" x14ac:dyDescent="0.25">
      <c r="A17" s="3" t="s">
        <v>15</v>
      </c>
      <c r="B17" s="3">
        <v>64</v>
      </c>
      <c r="C17" s="3">
        <v>4096</v>
      </c>
      <c r="D17" s="3">
        <v>1.5</v>
      </c>
      <c r="E17" s="3" t="s">
        <v>16</v>
      </c>
      <c r="F17" s="3">
        <v>100000</v>
      </c>
      <c r="G17" s="3">
        <v>1000000</v>
      </c>
      <c r="H17" s="3">
        <v>10</v>
      </c>
      <c r="I17" s="3" t="s">
        <v>17</v>
      </c>
      <c r="J17" s="4" t="s">
        <v>31</v>
      </c>
      <c r="K17" s="4"/>
      <c r="L17" s="3" t="s">
        <v>19</v>
      </c>
    </row>
    <row r="18" spans="1:12" x14ac:dyDescent="0.25">
      <c r="A18" s="5" t="s">
        <v>15</v>
      </c>
      <c r="B18" s="5">
        <v>64</v>
      </c>
      <c r="C18" s="5">
        <v>4096</v>
      </c>
      <c r="D18" s="5">
        <v>2</v>
      </c>
      <c r="E18" s="5" t="s">
        <v>16</v>
      </c>
      <c r="F18" s="5">
        <v>100000</v>
      </c>
      <c r="G18" s="5">
        <v>1000000</v>
      </c>
      <c r="H18" s="5">
        <v>10</v>
      </c>
      <c r="I18" s="5" t="s">
        <v>17</v>
      </c>
      <c r="J18" s="6" t="s">
        <v>32</v>
      </c>
      <c r="K18" s="6"/>
      <c r="L18" s="5" t="s">
        <v>19</v>
      </c>
    </row>
    <row r="19" spans="1:12" x14ac:dyDescent="0.25">
      <c r="A19" s="3" t="s">
        <v>15</v>
      </c>
      <c r="B19" s="3">
        <v>64</v>
      </c>
      <c r="C19" s="3">
        <v>4096</v>
      </c>
      <c r="D19" s="3">
        <v>2.2690000000000001</v>
      </c>
      <c r="E19" s="3" t="s">
        <v>21</v>
      </c>
      <c r="F19" s="3">
        <v>100000</v>
      </c>
      <c r="G19" s="3">
        <v>1000000</v>
      </c>
      <c r="H19" s="3">
        <v>10</v>
      </c>
      <c r="I19" s="3" t="s">
        <v>17</v>
      </c>
      <c r="J19" s="4" t="s">
        <v>33</v>
      </c>
      <c r="K19" s="4"/>
      <c r="L19" s="3" t="s">
        <v>19</v>
      </c>
    </row>
    <row r="20" spans="1:12" x14ac:dyDescent="0.25">
      <c r="A20" s="5" t="s">
        <v>15</v>
      </c>
      <c r="B20" s="5">
        <v>64</v>
      </c>
      <c r="C20" s="5">
        <v>4096</v>
      </c>
      <c r="D20" s="5">
        <v>2.5</v>
      </c>
      <c r="E20" s="5" t="s">
        <v>23</v>
      </c>
      <c r="F20" s="5">
        <v>100000</v>
      </c>
      <c r="G20" s="5">
        <v>1000000</v>
      </c>
      <c r="H20" s="5">
        <v>10</v>
      </c>
      <c r="I20" s="5" t="s">
        <v>17</v>
      </c>
      <c r="J20" s="6" t="s">
        <v>34</v>
      </c>
      <c r="K20" s="6"/>
      <c r="L20" s="5" t="s">
        <v>19</v>
      </c>
    </row>
    <row r="21" spans="1:12" x14ac:dyDescent="0.25">
      <c r="A21" s="3" t="s">
        <v>15</v>
      </c>
      <c r="B21" s="3">
        <v>64</v>
      </c>
      <c r="C21" s="3">
        <v>4096</v>
      </c>
      <c r="D21" s="3">
        <v>3</v>
      </c>
      <c r="E21" s="3" t="s">
        <v>23</v>
      </c>
      <c r="F21" s="3">
        <v>100000</v>
      </c>
      <c r="G21" s="3">
        <v>1000000</v>
      </c>
      <c r="H21" s="3">
        <v>10</v>
      </c>
      <c r="I21" s="3" t="s">
        <v>17</v>
      </c>
      <c r="J21" s="4" t="s">
        <v>35</v>
      </c>
      <c r="K21" s="4"/>
      <c r="L21" s="3" t="s">
        <v>19</v>
      </c>
    </row>
    <row r="22" spans="1:12" x14ac:dyDescent="0.25">
      <c r="A22" s="5" t="s">
        <v>15</v>
      </c>
      <c r="B22" s="5">
        <v>128</v>
      </c>
      <c r="C22" s="5">
        <v>16384</v>
      </c>
      <c r="D22" s="5">
        <v>1.5</v>
      </c>
      <c r="E22" s="5" t="s">
        <v>16</v>
      </c>
      <c r="F22" s="5">
        <v>100000</v>
      </c>
      <c r="G22" s="5">
        <v>1000000</v>
      </c>
      <c r="H22" s="5">
        <v>10</v>
      </c>
      <c r="I22" s="5" t="s">
        <v>17</v>
      </c>
      <c r="J22" s="6" t="s">
        <v>36</v>
      </c>
      <c r="K22" s="6"/>
      <c r="L22" s="5" t="s">
        <v>19</v>
      </c>
    </row>
    <row r="23" spans="1:12" x14ac:dyDescent="0.25">
      <c r="A23" s="3" t="s">
        <v>15</v>
      </c>
      <c r="B23" s="3">
        <v>128</v>
      </c>
      <c r="C23" s="3">
        <v>16384</v>
      </c>
      <c r="D23" s="3">
        <v>2</v>
      </c>
      <c r="E23" s="3" t="s">
        <v>16</v>
      </c>
      <c r="F23" s="3">
        <v>100000</v>
      </c>
      <c r="G23" s="3">
        <v>1000000</v>
      </c>
      <c r="H23" s="3">
        <v>10</v>
      </c>
      <c r="I23" s="3" t="s">
        <v>17</v>
      </c>
      <c r="J23" s="4" t="s">
        <v>37</v>
      </c>
      <c r="K23" s="4"/>
      <c r="L23" s="3" t="s">
        <v>19</v>
      </c>
    </row>
    <row r="24" spans="1:12" x14ac:dyDescent="0.25">
      <c r="A24" s="5" t="s">
        <v>15</v>
      </c>
      <c r="B24" s="5">
        <v>128</v>
      </c>
      <c r="C24" s="5">
        <v>16384</v>
      </c>
      <c r="D24" s="5">
        <v>2.2690000000000001</v>
      </c>
      <c r="E24" s="5" t="s">
        <v>21</v>
      </c>
      <c r="F24" s="5">
        <v>100000</v>
      </c>
      <c r="G24" s="5">
        <v>1000000</v>
      </c>
      <c r="H24" s="5">
        <v>10</v>
      </c>
      <c r="I24" s="5" t="s">
        <v>17</v>
      </c>
      <c r="J24" s="6" t="s">
        <v>38</v>
      </c>
      <c r="K24" s="6"/>
      <c r="L24" s="5" t="s">
        <v>19</v>
      </c>
    </row>
    <row r="25" spans="1:12" x14ac:dyDescent="0.25">
      <c r="A25" s="3" t="s">
        <v>15</v>
      </c>
      <c r="B25" s="3">
        <v>128</v>
      </c>
      <c r="C25" s="3">
        <v>16384</v>
      </c>
      <c r="D25" s="3">
        <v>2.5</v>
      </c>
      <c r="E25" s="3" t="s">
        <v>23</v>
      </c>
      <c r="F25" s="3">
        <v>100000</v>
      </c>
      <c r="G25" s="3">
        <v>1000000</v>
      </c>
      <c r="H25" s="3">
        <v>10</v>
      </c>
      <c r="I25" s="3" t="s">
        <v>17</v>
      </c>
      <c r="J25" s="4" t="s">
        <v>39</v>
      </c>
      <c r="K25" s="4"/>
      <c r="L25" s="3" t="s">
        <v>19</v>
      </c>
    </row>
    <row r="26" spans="1:12" x14ac:dyDescent="0.25">
      <c r="A26" s="5" t="s">
        <v>15</v>
      </c>
      <c r="B26" s="5">
        <v>128</v>
      </c>
      <c r="C26" s="5">
        <v>16384</v>
      </c>
      <c r="D26" s="5">
        <v>3</v>
      </c>
      <c r="E26" s="5" t="s">
        <v>23</v>
      </c>
      <c r="F26" s="5">
        <v>100000</v>
      </c>
      <c r="G26" s="5">
        <v>1000000</v>
      </c>
      <c r="H26" s="5">
        <v>10</v>
      </c>
      <c r="I26" s="5" t="s">
        <v>17</v>
      </c>
      <c r="J26" s="6" t="s">
        <v>40</v>
      </c>
      <c r="K26" s="6"/>
      <c r="L26" s="5" t="s">
        <v>19</v>
      </c>
    </row>
    <row r="27" spans="1:12" x14ac:dyDescent="0.25">
      <c r="A27" s="3" t="s">
        <v>41</v>
      </c>
      <c r="B27" s="3">
        <v>16</v>
      </c>
      <c r="C27" s="3">
        <v>256</v>
      </c>
      <c r="D27" s="3">
        <v>1.5</v>
      </c>
      <c r="E27" s="3" t="s">
        <v>16</v>
      </c>
      <c r="F27" s="3">
        <v>1000</v>
      </c>
      <c r="G27" s="3">
        <v>20000</v>
      </c>
      <c r="H27" s="3">
        <v>1</v>
      </c>
      <c r="I27" s="3" t="s">
        <v>42</v>
      </c>
      <c r="J27" s="4" t="s">
        <v>43</v>
      </c>
      <c r="K27" s="4"/>
      <c r="L27" s="3" t="s">
        <v>19</v>
      </c>
    </row>
    <row r="28" spans="1:12" x14ac:dyDescent="0.25">
      <c r="A28" s="5" t="s">
        <v>41</v>
      </c>
      <c r="B28" s="5">
        <v>16</v>
      </c>
      <c r="C28" s="5">
        <v>256</v>
      </c>
      <c r="D28" s="5">
        <v>2</v>
      </c>
      <c r="E28" s="5" t="s">
        <v>16</v>
      </c>
      <c r="F28" s="5">
        <v>1000</v>
      </c>
      <c r="G28" s="5">
        <v>20000</v>
      </c>
      <c r="H28" s="5">
        <v>1</v>
      </c>
      <c r="I28" s="5" t="s">
        <v>42</v>
      </c>
      <c r="J28" s="6" t="s">
        <v>44</v>
      </c>
      <c r="K28" s="6"/>
      <c r="L28" s="5" t="s">
        <v>19</v>
      </c>
    </row>
    <row r="29" spans="1:12" x14ac:dyDescent="0.25">
      <c r="A29" s="3" t="s">
        <v>41</v>
      </c>
      <c r="B29" s="3">
        <v>16</v>
      </c>
      <c r="C29" s="3">
        <v>256</v>
      </c>
      <c r="D29" s="3">
        <v>2.2690000000000001</v>
      </c>
      <c r="E29" s="3" t="s">
        <v>21</v>
      </c>
      <c r="F29" s="3">
        <v>1000</v>
      </c>
      <c r="G29" s="3">
        <v>20000</v>
      </c>
      <c r="H29" s="3">
        <v>1</v>
      </c>
      <c r="I29" s="3" t="s">
        <v>42</v>
      </c>
      <c r="J29" s="4" t="s">
        <v>45</v>
      </c>
      <c r="K29" s="4"/>
      <c r="L29" s="3" t="s">
        <v>19</v>
      </c>
    </row>
    <row r="30" spans="1:12" x14ac:dyDescent="0.25">
      <c r="A30" s="5" t="s">
        <v>41</v>
      </c>
      <c r="B30" s="5">
        <v>16</v>
      </c>
      <c r="C30" s="5">
        <v>256</v>
      </c>
      <c r="D30" s="5">
        <v>2.5</v>
      </c>
      <c r="E30" s="5" t="s">
        <v>23</v>
      </c>
      <c r="F30" s="5">
        <v>1000</v>
      </c>
      <c r="G30" s="11">
        <v>3000000</v>
      </c>
      <c r="H30" s="5">
        <v>1</v>
      </c>
      <c r="I30" s="5" t="s">
        <v>42</v>
      </c>
      <c r="J30" s="6" t="s">
        <v>46</v>
      </c>
      <c r="K30" s="6"/>
      <c r="L30" s="5" t="s">
        <v>19</v>
      </c>
    </row>
    <row r="31" spans="1:12" x14ac:dyDescent="0.25">
      <c r="A31" s="3" t="s">
        <v>41</v>
      </c>
      <c r="B31" s="3">
        <v>16</v>
      </c>
      <c r="C31" s="3">
        <v>256</v>
      </c>
      <c r="D31" s="3">
        <v>3</v>
      </c>
      <c r="E31" s="3" t="s">
        <v>23</v>
      </c>
      <c r="F31" s="3">
        <v>1000</v>
      </c>
      <c r="G31" s="12">
        <v>3000000</v>
      </c>
      <c r="H31" s="3">
        <v>1</v>
      </c>
      <c r="I31" s="3" t="s">
        <v>42</v>
      </c>
      <c r="J31" s="4" t="s">
        <v>47</v>
      </c>
      <c r="K31" s="4"/>
      <c r="L31" s="3" t="s">
        <v>19</v>
      </c>
    </row>
    <row r="32" spans="1:12" x14ac:dyDescent="0.25">
      <c r="A32" s="5" t="s">
        <v>41</v>
      </c>
      <c r="B32" s="5">
        <v>32</v>
      </c>
      <c r="C32" s="5">
        <v>1024</v>
      </c>
      <c r="D32" s="5">
        <v>1.5</v>
      </c>
      <c r="E32" s="5" t="s">
        <v>16</v>
      </c>
      <c r="F32" s="5">
        <v>1000</v>
      </c>
      <c r="G32" s="11">
        <v>20000</v>
      </c>
      <c r="H32" s="5">
        <v>1</v>
      </c>
      <c r="I32" s="5" t="s">
        <v>42</v>
      </c>
      <c r="J32" s="6" t="s">
        <v>48</v>
      </c>
      <c r="K32" s="6"/>
      <c r="L32" s="5" t="s">
        <v>19</v>
      </c>
    </row>
    <row r="33" spans="1:12" x14ac:dyDescent="0.25">
      <c r="A33" s="3" t="s">
        <v>41</v>
      </c>
      <c r="B33" s="3">
        <v>32</v>
      </c>
      <c r="C33" s="3">
        <v>1024</v>
      </c>
      <c r="D33" s="3">
        <v>2</v>
      </c>
      <c r="E33" s="3" t="s">
        <v>16</v>
      </c>
      <c r="F33" s="3">
        <v>1000</v>
      </c>
      <c r="G33" s="12">
        <v>20000</v>
      </c>
      <c r="H33" s="3">
        <v>1</v>
      </c>
      <c r="I33" s="3" t="s">
        <v>42</v>
      </c>
      <c r="J33" s="4" t="s">
        <v>49</v>
      </c>
      <c r="K33" s="4"/>
      <c r="L33" s="3" t="s">
        <v>19</v>
      </c>
    </row>
    <row r="34" spans="1:12" x14ac:dyDescent="0.25">
      <c r="A34" s="5" t="s">
        <v>41</v>
      </c>
      <c r="B34" s="5">
        <v>32</v>
      </c>
      <c r="C34" s="5">
        <v>1024</v>
      </c>
      <c r="D34" s="5">
        <v>2.2690000000000001</v>
      </c>
      <c r="E34" s="5" t="s">
        <v>21</v>
      </c>
      <c r="F34" s="5">
        <v>1000</v>
      </c>
      <c r="G34" s="11">
        <v>20000</v>
      </c>
      <c r="H34" s="5">
        <v>1</v>
      </c>
      <c r="I34" s="5" t="s">
        <v>42</v>
      </c>
      <c r="J34" s="6" t="s">
        <v>50</v>
      </c>
      <c r="K34" s="6"/>
      <c r="L34" s="5" t="s">
        <v>19</v>
      </c>
    </row>
    <row r="35" spans="1:12" x14ac:dyDescent="0.25">
      <c r="A35" s="3" t="s">
        <v>41</v>
      </c>
      <c r="B35" s="3">
        <v>32</v>
      </c>
      <c r="C35" s="3">
        <v>1024</v>
      </c>
      <c r="D35" s="3">
        <v>2.5</v>
      </c>
      <c r="E35" s="3" t="s">
        <v>23</v>
      </c>
      <c r="F35" s="3">
        <v>1000</v>
      </c>
      <c r="G35" s="12">
        <v>3000000</v>
      </c>
      <c r="H35" s="3">
        <v>1</v>
      </c>
      <c r="I35" s="3" t="s">
        <v>42</v>
      </c>
      <c r="J35" s="4" t="s">
        <v>51</v>
      </c>
      <c r="K35" s="4"/>
      <c r="L35" s="3" t="s">
        <v>19</v>
      </c>
    </row>
    <row r="36" spans="1:12" x14ac:dyDescent="0.25">
      <c r="A36" s="5" t="s">
        <v>41</v>
      </c>
      <c r="B36" s="5">
        <v>32</v>
      </c>
      <c r="C36" s="5">
        <v>1024</v>
      </c>
      <c r="D36" s="5">
        <v>3</v>
      </c>
      <c r="E36" s="5" t="s">
        <v>23</v>
      </c>
      <c r="F36" s="5">
        <v>1000</v>
      </c>
      <c r="G36" s="11">
        <v>3000000</v>
      </c>
      <c r="H36" s="5">
        <v>1</v>
      </c>
      <c r="I36" s="5" t="s">
        <v>42</v>
      </c>
      <c r="J36" s="6" t="s">
        <v>52</v>
      </c>
      <c r="K36" s="6"/>
      <c r="L36" s="5" t="s">
        <v>19</v>
      </c>
    </row>
    <row r="37" spans="1:12" x14ac:dyDescent="0.25">
      <c r="A37" s="3" t="s">
        <v>41</v>
      </c>
      <c r="B37" s="3">
        <v>64</v>
      </c>
      <c r="C37" s="3">
        <v>4096</v>
      </c>
      <c r="D37" s="3">
        <v>1.5</v>
      </c>
      <c r="E37" s="3" t="s">
        <v>16</v>
      </c>
      <c r="F37" s="3">
        <v>1000</v>
      </c>
      <c r="G37" s="12">
        <v>20000</v>
      </c>
      <c r="H37" s="3">
        <v>1</v>
      </c>
      <c r="I37" s="3" t="s">
        <v>42</v>
      </c>
      <c r="J37" s="4" t="s">
        <v>53</v>
      </c>
      <c r="K37" s="4"/>
      <c r="L37" s="3" t="s">
        <v>19</v>
      </c>
    </row>
    <row r="38" spans="1:12" x14ac:dyDescent="0.25">
      <c r="A38" s="5" t="s">
        <v>41</v>
      </c>
      <c r="B38" s="5">
        <v>64</v>
      </c>
      <c r="C38" s="5">
        <v>4096</v>
      </c>
      <c r="D38" s="5">
        <v>2</v>
      </c>
      <c r="E38" s="5" t="s">
        <v>16</v>
      </c>
      <c r="F38" s="5">
        <v>1000</v>
      </c>
      <c r="G38" s="11">
        <v>20000</v>
      </c>
      <c r="H38" s="5">
        <v>1</v>
      </c>
      <c r="I38" s="5" t="s">
        <v>42</v>
      </c>
      <c r="J38" s="6" t="s">
        <v>54</v>
      </c>
      <c r="K38" s="6"/>
      <c r="L38" s="5" t="s">
        <v>19</v>
      </c>
    </row>
    <row r="39" spans="1:12" x14ac:dyDescent="0.25">
      <c r="A39" s="3" t="s">
        <v>41</v>
      </c>
      <c r="B39" s="3">
        <v>64</v>
      </c>
      <c r="C39" s="3">
        <v>4096</v>
      </c>
      <c r="D39" s="3">
        <v>2.2690000000000001</v>
      </c>
      <c r="E39" s="3" t="s">
        <v>21</v>
      </c>
      <c r="F39" s="3">
        <v>1000</v>
      </c>
      <c r="G39" s="12">
        <v>20000</v>
      </c>
      <c r="H39" s="3">
        <v>1</v>
      </c>
      <c r="I39" s="3" t="s">
        <v>42</v>
      </c>
      <c r="J39" s="4" t="s">
        <v>55</v>
      </c>
      <c r="K39" s="4"/>
      <c r="L39" s="3" t="s">
        <v>19</v>
      </c>
    </row>
    <row r="40" spans="1:12" x14ac:dyDescent="0.25">
      <c r="A40" s="5" t="s">
        <v>41</v>
      </c>
      <c r="B40" s="5">
        <v>64</v>
      </c>
      <c r="C40" s="5">
        <v>4096</v>
      </c>
      <c r="D40" s="5">
        <v>2.5</v>
      </c>
      <c r="E40" s="5" t="s">
        <v>23</v>
      </c>
      <c r="F40" s="5">
        <v>1000</v>
      </c>
      <c r="G40" s="11">
        <v>3000000</v>
      </c>
      <c r="H40" s="5">
        <v>1</v>
      </c>
      <c r="I40" s="5" t="s">
        <v>42</v>
      </c>
      <c r="J40" s="6" t="s">
        <v>56</v>
      </c>
      <c r="K40" s="6"/>
      <c r="L40" s="5" t="s">
        <v>19</v>
      </c>
    </row>
    <row r="41" spans="1:12" x14ac:dyDescent="0.25">
      <c r="A41" s="3" t="s">
        <v>41</v>
      </c>
      <c r="B41" s="3">
        <v>64</v>
      </c>
      <c r="C41" s="3">
        <v>4096</v>
      </c>
      <c r="D41" s="3">
        <v>3</v>
      </c>
      <c r="E41" s="3" t="s">
        <v>23</v>
      </c>
      <c r="F41" s="3">
        <v>1000</v>
      </c>
      <c r="G41" s="12">
        <v>3000000</v>
      </c>
      <c r="H41" s="3">
        <v>1</v>
      </c>
      <c r="I41" s="3" t="s">
        <v>42</v>
      </c>
      <c r="J41" s="4" t="s">
        <v>57</v>
      </c>
      <c r="K41" s="4"/>
      <c r="L41" s="3" t="s">
        <v>19</v>
      </c>
    </row>
    <row r="42" spans="1:12" x14ac:dyDescent="0.25">
      <c r="A42" s="5" t="s">
        <v>41</v>
      </c>
      <c r="B42" s="5">
        <v>128</v>
      </c>
      <c r="C42" s="5">
        <v>16384</v>
      </c>
      <c r="D42" s="5">
        <v>1.5</v>
      </c>
      <c r="E42" s="5" t="s">
        <v>16</v>
      </c>
      <c r="F42" s="5">
        <v>1000</v>
      </c>
      <c r="G42" s="11">
        <v>20000</v>
      </c>
      <c r="H42" s="5">
        <v>1</v>
      </c>
      <c r="I42" s="5" t="s">
        <v>42</v>
      </c>
      <c r="J42" s="6" t="s">
        <v>58</v>
      </c>
      <c r="K42" s="6"/>
      <c r="L42" s="5" t="s">
        <v>19</v>
      </c>
    </row>
    <row r="43" spans="1:12" x14ac:dyDescent="0.25">
      <c r="A43" s="3" t="s">
        <v>41</v>
      </c>
      <c r="B43" s="3">
        <v>128</v>
      </c>
      <c r="C43" s="3">
        <v>16384</v>
      </c>
      <c r="D43" s="3">
        <v>2</v>
      </c>
      <c r="E43" s="3" t="s">
        <v>16</v>
      </c>
      <c r="F43" s="3">
        <v>1000</v>
      </c>
      <c r="G43" s="12">
        <v>20000</v>
      </c>
      <c r="H43" s="3">
        <v>1</v>
      </c>
      <c r="I43" s="3" t="s">
        <v>42</v>
      </c>
      <c r="J43" s="4" t="s">
        <v>59</v>
      </c>
      <c r="K43" s="4"/>
      <c r="L43" s="3" t="s">
        <v>19</v>
      </c>
    </row>
    <row r="44" spans="1:12" x14ac:dyDescent="0.25">
      <c r="A44" s="5" t="s">
        <v>41</v>
      </c>
      <c r="B44" s="5">
        <v>128</v>
      </c>
      <c r="C44" s="5">
        <v>16384</v>
      </c>
      <c r="D44" s="5">
        <v>2.2690000000000001</v>
      </c>
      <c r="E44" s="5" t="s">
        <v>21</v>
      </c>
      <c r="F44" s="5">
        <v>1000</v>
      </c>
      <c r="G44" s="11">
        <v>20000</v>
      </c>
      <c r="H44" s="5">
        <v>1</v>
      </c>
      <c r="I44" s="5" t="s">
        <v>42</v>
      </c>
      <c r="J44" s="6" t="s">
        <v>60</v>
      </c>
      <c r="K44" s="6"/>
      <c r="L44" s="5" t="s">
        <v>19</v>
      </c>
    </row>
    <row r="45" spans="1:12" x14ac:dyDescent="0.25">
      <c r="A45" s="3" t="s">
        <v>41</v>
      </c>
      <c r="B45" s="3">
        <v>128</v>
      </c>
      <c r="C45" s="3">
        <v>16384</v>
      </c>
      <c r="D45" s="3">
        <v>2.5</v>
      </c>
      <c r="E45" s="3" t="s">
        <v>23</v>
      </c>
      <c r="F45" s="3">
        <v>1000</v>
      </c>
      <c r="G45" s="12">
        <v>3000000</v>
      </c>
      <c r="H45" s="3">
        <v>1</v>
      </c>
      <c r="I45" s="3" t="s">
        <v>42</v>
      </c>
      <c r="J45" s="4" t="s">
        <v>61</v>
      </c>
      <c r="K45" s="4"/>
      <c r="L45" s="3" t="s">
        <v>19</v>
      </c>
    </row>
    <row r="46" spans="1:12" x14ac:dyDescent="0.25">
      <c r="A46" s="5" t="s">
        <v>41</v>
      </c>
      <c r="B46" s="5">
        <v>128</v>
      </c>
      <c r="C46" s="5">
        <v>16384</v>
      </c>
      <c r="D46" s="5">
        <v>3</v>
      </c>
      <c r="E46" s="5" t="s">
        <v>23</v>
      </c>
      <c r="F46" s="5">
        <v>1000</v>
      </c>
      <c r="G46" s="11">
        <v>3000000</v>
      </c>
      <c r="H46" s="5">
        <v>1</v>
      </c>
      <c r="I46" s="5" t="s">
        <v>42</v>
      </c>
      <c r="J46" s="6" t="s">
        <v>62</v>
      </c>
      <c r="K46" s="6"/>
      <c r="L46" s="5" t="s">
        <v>19</v>
      </c>
    </row>
    <row r="47" spans="1:12" x14ac:dyDescent="0.25">
      <c r="A47" s="3" t="s">
        <v>63</v>
      </c>
      <c r="B47" s="3">
        <v>16</v>
      </c>
      <c r="C47" s="3">
        <v>256</v>
      </c>
      <c r="D47" s="3">
        <v>1.5</v>
      </c>
      <c r="E47" s="3" t="s">
        <v>16</v>
      </c>
      <c r="F47" s="5">
        <v>1000</v>
      </c>
      <c r="G47" s="5">
        <v>20000</v>
      </c>
      <c r="H47" s="3">
        <v>10</v>
      </c>
      <c r="I47" s="3" t="s">
        <v>64</v>
      </c>
      <c r="J47" s="4" t="s">
        <v>65</v>
      </c>
      <c r="K47" s="4"/>
      <c r="L47" s="3" t="s">
        <v>19</v>
      </c>
    </row>
    <row r="48" spans="1:12" x14ac:dyDescent="0.25">
      <c r="A48" s="5" t="s">
        <v>63</v>
      </c>
      <c r="B48" s="5">
        <v>16</v>
      </c>
      <c r="C48" s="5">
        <v>256</v>
      </c>
      <c r="D48" s="5">
        <v>2</v>
      </c>
      <c r="E48" s="5" t="s">
        <v>16</v>
      </c>
      <c r="F48" s="5">
        <v>1000</v>
      </c>
      <c r="G48" s="5">
        <v>20000</v>
      </c>
      <c r="H48" s="5">
        <v>10</v>
      </c>
      <c r="I48" s="5" t="s">
        <v>64</v>
      </c>
      <c r="J48" s="6" t="s">
        <v>66</v>
      </c>
      <c r="K48" s="6"/>
      <c r="L48" s="5" t="s">
        <v>19</v>
      </c>
    </row>
    <row r="49" spans="1:12" x14ac:dyDescent="0.25">
      <c r="A49" s="3" t="s">
        <v>63</v>
      </c>
      <c r="B49" s="3">
        <v>16</v>
      </c>
      <c r="C49" s="3">
        <v>256</v>
      </c>
      <c r="D49" s="3">
        <v>2.2690000000000001</v>
      </c>
      <c r="E49" s="3" t="s">
        <v>21</v>
      </c>
      <c r="F49" s="5">
        <v>1000</v>
      </c>
      <c r="G49" s="5">
        <v>20000</v>
      </c>
      <c r="H49" s="3">
        <v>10</v>
      </c>
      <c r="I49" s="3" t="s">
        <v>64</v>
      </c>
      <c r="J49" s="4" t="s">
        <v>67</v>
      </c>
      <c r="K49" s="4"/>
      <c r="L49" s="3" t="s">
        <v>19</v>
      </c>
    </row>
    <row r="50" spans="1:12" x14ac:dyDescent="0.25">
      <c r="A50" s="5" t="s">
        <v>63</v>
      </c>
      <c r="B50" s="5">
        <v>16</v>
      </c>
      <c r="C50" s="5">
        <v>256</v>
      </c>
      <c r="D50" s="5">
        <v>2.5</v>
      </c>
      <c r="E50" s="5" t="s">
        <v>23</v>
      </c>
      <c r="F50" s="5">
        <v>1000</v>
      </c>
      <c r="G50" s="5">
        <v>20000</v>
      </c>
      <c r="H50" s="5">
        <v>10</v>
      </c>
      <c r="I50" s="5" t="s">
        <v>64</v>
      </c>
      <c r="J50" s="6" t="s">
        <v>68</v>
      </c>
      <c r="K50" s="6"/>
      <c r="L50" s="5" t="s">
        <v>19</v>
      </c>
    </row>
    <row r="51" spans="1:12" x14ac:dyDescent="0.25">
      <c r="A51" s="3" t="s">
        <v>63</v>
      </c>
      <c r="B51" s="3">
        <v>16</v>
      </c>
      <c r="C51" s="3">
        <v>256</v>
      </c>
      <c r="D51" s="3">
        <v>3</v>
      </c>
      <c r="E51" s="3" t="s">
        <v>23</v>
      </c>
      <c r="F51" s="5">
        <v>1000</v>
      </c>
      <c r="G51" s="5">
        <v>20000</v>
      </c>
      <c r="H51" s="3">
        <v>10</v>
      </c>
      <c r="I51" s="3" t="s">
        <v>64</v>
      </c>
      <c r="J51" s="4" t="s">
        <v>69</v>
      </c>
      <c r="K51" s="4"/>
      <c r="L51" s="3" t="s">
        <v>19</v>
      </c>
    </row>
    <row r="52" spans="1:12" x14ac:dyDescent="0.25">
      <c r="A52" s="5" t="s">
        <v>63</v>
      </c>
      <c r="B52" s="5">
        <v>32</v>
      </c>
      <c r="C52" s="5">
        <v>1024</v>
      </c>
      <c r="D52" s="5">
        <v>1.5</v>
      </c>
      <c r="E52" s="5" t="s">
        <v>16</v>
      </c>
      <c r="F52" s="5">
        <v>1000</v>
      </c>
      <c r="G52" s="5">
        <v>20000</v>
      </c>
      <c r="H52" s="5">
        <v>10</v>
      </c>
      <c r="I52" s="5" t="s">
        <v>64</v>
      </c>
      <c r="J52" s="6" t="s">
        <v>70</v>
      </c>
      <c r="K52" s="6"/>
      <c r="L52" s="5" t="s">
        <v>19</v>
      </c>
    </row>
    <row r="53" spans="1:12" x14ac:dyDescent="0.25">
      <c r="A53" s="3" t="s">
        <v>63</v>
      </c>
      <c r="B53" s="3">
        <v>32</v>
      </c>
      <c r="C53" s="3">
        <v>1024</v>
      </c>
      <c r="D53" s="3">
        <v>2</v>
      </c>
      <c r="E53" s="3" t="s">
        <v>16</v>
      </c>
      <c r="F53" s="5">
        <v>1000</v>
      </c>
      <c r="G53" s="5">
        <v>20000</v>
      </c>
      <c r="H53" s="3">
        <v>10</v>
      </c>
      <c r="I53" s="3" t="s">
        <v>64</v>
      </c>
      <c r="J53" s="4" t="s">
        <v>71</v>
      </c>
      <c r="K53" s="4"/>
      <c r="L53" s="3" t="s">
        <v>19</v>
      </c>
    </row>
    <row r="54" spans="1:12" x14ac:dyDescent="0.25">
      <c r="A54" s="5" t="s">
        <v>63</v>
      </c>
      <c r="B54" s="5">
        <v>32</v>
      </c>
      <c r="C54" s="5">
        <v>1024</v>
      </c>
      <c r="D54" s="5">
        <v>2.2690000000000001</v>
      </c>
      <c r="E54" s="5" t="s">
        <v>21</v>
      </c>
      <c r="F54" s="5">
        <v>1000</v>
      </c>
      <c r="G54" s="5">
        <v>20000</v>
      </c>
      <c r="H54" s="5">
        <v>10</v>
      </c>
      <c r="I54" s="5" t="s">
        <v>64</v>
      </c>
      <c r="J54" s="6" t="s">
        <v>72</v>
      </c>
      <c r="K54" s="6"/>
      <c r="L54" s="5" t="s">
        <v>19</v>
      </c>
    </row>
    <row r="55" spans="1:12" x14ac:dyDescent="0.25">
      <c r="A55" s="3" t="s">
        <v>63</v>
      </c>
      <c r="B55" s="3">
        <v>32</v>
      </c>
      <c r="C55" s="3">
        <v>1024</v>
      </c>
      <c r="D55" s="3">
        <v>2.5</v>
      </c>
      <c r="E55" s="3" t="s">
        <v>23</v>
      </c>
      <c r="F55" s="5">
        <v>1000</v>
      </c>
      <c r="G55" s="5">
        <v>20000</v>
      </c>
      <c r="H55" s="3">
        <v>10</v>
      </c>
      <c r="I55" s="3" t="s">
        <v>64</v>
      </c>
      <c r="J55" s="4" t="s">
        <v>73</v>
      </c>
      <c r="K55" s="4"/>
      <c r="L55" s="3" t="s">
        <v>19</v>
      </c>
    </row>
    <row r="56" spans="1:12" x14ac:dyDescent="0.25">
      <c r="A56" s="5" t="s">
        <v>63</v>
      </c>
      <c r="B56" s="5">
        <v>32</v>
      </c>
      <c r="C56" s="5">
        <v>1024</v>
      </c>
      <c r="D56" s="5">
        <v>3</v>
      </c>
      <c r="E56" s="5" t="s">
        <v>23</v>
      </c>
      <c r="F56" s="5">
        <v>1000</v>
      </c>
      <c r="G56" s="5">
        <v>20000</v>
      </c>
      <c r="H56" s="5">
        <v>10</v>
      </c>
      <c r="I56" s="5" t="s">
        <v>64</v>
      </c>
      <c r="J56" s="6" t="s">
        <v>74</v>
      </c>
      <c r="K56" s="6"/>
      <c r="L56" s="5" t="s">
        <v>19</v>
      </c>
    </row>
    <row r="57" spans="1:12" x14ac:dyDescent="0.25">
      <c r="A57" s="3" t="s">
        <v>63</v>
      </c>
      <c r="B57" s="3">
        <v>64</v>
      </c>
      <c r="C57" s="3">
        <v>4096</v>
      </c>
      <c r="D57" s="3">
        <v>1.5</v>
      </c>
      <c r="E57" s="3" t="s">
        <v>16</v>
      </c>
      <c r="F57" s="5">
        <v>1000</v>
      </c>
      <c r="G57" s="5">
        <v>20000</v>
      </c>
      <c r="H57" s="3">
        <v>10</v>
      </c>
      <c r="I57" s="3" t="s">
        <v>64</v>
      </c>
      <c r="J57" s="4" t="s">
        <v>75</v>
      </c>
      <c r="K57" s="4"/>
      <c r="L57" s="3" t="s">
        <v>19</v>
      </c>
    </row>
    <row r="58" spans="1:12" x14ac:dyDescent="0.25">
      <c r="A58" s="5" t="s">
        <v>63</v>
      </c>
      <c r="B58" s="5">
        <v>64</v>
      </c>
      <c r="C58" s="5">
        <v>4096</v>
      </c>
      <c r="D58" s="5">
        <v>2</v>
      </c>
      <c r="E58" s="5" t="s">
        <v>16</v>
      </c>
      <c r="F58" s="5">
        <v>1000</v>
      </c>
      <c r="G58" s="5">
        <v>20000</v>
      </c>
      <c r="H58" s="5">
        <v>10</v>
      </c>
      <c r="I58" s="5" t="s">
        <v>64</v>
      </c>
      <c r="J58" s="6" t="s">
        <v>76</v>
      </c>
      <c r="K58" s="6"/>
      <c r="L58" s="5" t="s">
        <v>19</v>
      </c>
    </row>
    <row r="59" spans="1:12" x14ac:dyDescent="0.25">
      <c r="A59" s="3" t="s">
        <v>63</v>
      </c>
      <c r="B59" s="3">
        <v>64</v>
      </c>
      <c r="C59" s="3">
        <v>4096</v>
      </c>
      <c r="D59" s="3">
        <v>2.2690000000000001</v>
      </c>
      <c r="E59" s="3" t="s">
        <v>21</v>
      </c>
      <c r="F59" s="5">
        <v>1000</v>
      </c>
      <c r="G59" s="5">
        <v>20000</v>
      </c>
      <c r="H59" s="3">
        <v>10</v>
      </c>
      <c r="I59" s="3" t="s">
        <v>64</v>
      </c>
      <c r="J59" s="4" t="s">
        <v>77</v>
      </c>
      <c r="K59" s="4"/>
      <c r="L59" s="3" t="s">
        <v>19</v>
      </c>
    </row>
    <row r="60" spans="1:12" x14ac:dyDescent="0.25">
      <c r="A60" s="5" t="s">
        <v>63</v>
      </c>
      <c r="B60" s="5">
        <v>64</v>
      </c>
      <c r="C60" s="5">
        <v>4096</v>
      </c>
      <c r="D60" s="5">
        <v>2.5</v>
      </c>
      <c r="E60" s="5" t="s">
        <v>23</v>
      </c>
      <c r="F60" s="5">
        <v>1000</v>
      </c>
      <c r="G60" s="5">
        <v>20000</v>
      </c>
      <c r="H60" s="5">
        <v>10</v>
      </c>
      <c r="I60" s="5" t="s">
        <v>64</v>
      </c>
      <c r="J60" s="6" t="s">
        <v>78</v>
      </c>
      <c r="K60" s="6"/>
      <c r="L60" s="5" t="s">
        <v>19</v>
      </c>
    </row>
    <row r="61" spans="1:12" x14ac:dyDescent="0.25">
      <c r="A61" s="3" t="s">
        <v>63</v>
      </c>
      <c r="B61" s="3">
        <v>64</v>
      </c>
      <c r="C61" s="3">
        <v>4096</v>
      </c>
      <c r="D61" s="3">
        <v>3</v>
      </c>
      <c r="E61" s="3" t="s">
        <v>23</v>
      </c>
      <c r="F61" s="5">
        <v>1000</v>
      </c>
      <c r="G61" s="5">
        <v>20000</v>
      </c>
      <c r="H61" s="3">
        <v>10</v>
      </c>
      <c r="I61" s="3" t="s">
        <v>64</v>
      </c>
      <c r="J61" s="4" t="s">
        <v>79</v>
      </c>
      <c r="K61" s="4"/>
      <c r="L61" s="3" t="s">
        <v>19</v>
      </c>
    </row>
    <row r="62" spans="1:12" x14ac:dyDescent="0.25">
      <c r="A62" s="5" t="s">
        <v>63</v>
      </c>
      <c r="B62" s="5">
        <v>128</v>
      </c>
      <c r="C62" s="5">
        <v>16384</v>
      </c>
      <c r="D62" s="5">
        <v>1.5</v>
      </c>
      <c r="E62" s="5" t="s">
        <v>16</v>
      </c>
      <c r="F62" s="5">
        <v>1000</v>
      </c>
      <c r="G62" s="5">
        <v>20000</v>
      </c>
      <c r="H62" s="5">
        <v>10</v>
      </c>
      <c r="I62" s="5" t="s">
        <v>64</v>
      </c>
      <c r="J62" s="6" t="s">
        <v>80</v>
      </c>
      <c r="K62" s="6"/>
      <c r="L62" s="5" t="s">
        <v>19</v>
      </c>
    </row>
    <row r="63" spans="1:12" x14ac:dyDescent="0.25">
      <c r="A63" s="3" t="s">
        <v>63</v>
      </c>
      <c r="B63" s="3">
        <v>128</v>
      </c>
      <c r="C63" s="3">
        <v>16384</v>
      </c>
      <c r="D63" s="3">
        <v>2</v>
      </c>
      <c r="E63" s="3" t="s">
        <v>16</v>
      </c>
      <c r="F63" s="5">
        <v>1000</v>
      </c>
      <c r="G63" s="5">
        <v>20000</v>
      </c>
      <c r="H63" s="3">
        <v>10</v>
      </c>
      <c r="I63" s="3" t="s">
        <v>64</v>
      </c>
      <c r="J63" s="4" t="s">
        <v>81</v>
      </c>
      <c r="K63" s="4"/>
      <c r="L63" s="3" t="s">
        <v>19</v>
      </c>
    </row>
    <row r="64" spans="1:12" x14ac:dyDescent="0.25">
      <c r="A64" s="5" t="s">
        <v>63</v>
      </c>
      <c r="B64" s="5">
        <v>128</v>
      </c>
      <c r="C64" s="5">
        <v>16384</v>
      </c>
      <c r="D64" s="5">
        <v>2.2690000000000001</v>
      </c>
      <c r="E64" s="5" t="s">
        <v>21</v>
      </c>
      <c r="F64" s="5">
        <v>1000</v>
      </c>
      <c r="G64" s="5">
        <v>20000</v>
      </c>
      <c r="H64" s="5">
        <v>10</v>
      </c>
      <c r="I64" s="5" t="s">
        <v>64</v>
      </c>
      <c r="J64" s="6" t="s">
        <v>82</v>
      </c>
      <c r="K64" s="6"/>
      <c r="L64" s="5" t="s">
        <v>19</v>
      </c>
    </row>
    <row r="65" spans="1:12" x14ac:dyDescent="0.25">
      <c r="A65" s="3" t="s">
        <v>63</v>
      </c>
      <c r="B65" s="3">
        <v>128</v>
      </c>
      <c r="C65" s="3">
        <v>16384</v>
      </c>
      <c r="D65" s="3">
        <v>2.5</v>
      </c>
      <c r="E65" s="3" t="s">
        <v>23</v>
      </c>
      <c r="F65" s="5">
        <v>1000</v>
      </c>
      <c r="G65" s="5">
        <v>20000</v>
      </c>
      <c r="H65" s="3">
        <v>10</v>
      </c>
      <c r="I65" s="3" t="s">
        <v>64</v>
      </c>
      <c r="J65" s="4" t="s">
        <v>83</v>
      </c>
      <c r="K65" s="4"/>
      <c r="L65" s="3" t="s">
        <v>19</v>
      </c>
    </row>
    <row r="66" spans="1:12" x14ac:dyDescent="0.25">
      <c r="A66" s="5" t="s">
        <v>63</v>
      </c>
      <c r="B66" s="5">
        <v>128</v>
      </c>
      <c r="C66" s="5">
        <v>16384</v>
      </c>
      <c r="D66" s="5">
        <v>3</v>
      </c>
      <c r="E66" s="5" t="s">
        <v>23</v>
      </c>
      <c r="F66" s="5">
        <v>1000</v>
      </c>
      <c r="G66" s="5">
        <v>20000</v>
      </c>
      <c r="H66" s="5">
        <v>10</v>
      </c>
      <c r="I66" s="5" t="s">
        <v>64</v>
      </c>
      <c r="J66" s="6" t="s">
        <v>84</v>
      </c>
      <c r="K66" s="6"/>
      <c r="L66" s="5" t="s">
        <v>19</v>
      </c>
    </row>
  </sheetData>
  <mergeCells count="2">
    <mergeCell ref="A1:L1"/>
    <mergeCell ref="A2:L2"/>
  </mergeCells>
  <dataValidations count="1">
    <dataValidation type="list" sqref="L7:L66" xr:uid="{00000000-0002-0000-0000-000000000000}">
      <formula1>"Pendente,Rodando,Concluído,Erro"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110" customWidth="1"/>
  </cols>
  <sheetData>
    <row r="1" spans="1:1" ht="15.75" x14ac:dyDescent="0.25">
      <c r="A1" s="7" t="s">
        <v>85</v>
      </c>
    </row>
    <row r="2" spans="1:1" ht="259.5" customHeight="1" x14ac:dyDescent="0.25">
      <c r="A2" s="8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Simulacoes</vt:lpstr>
      <vt:lpstr>Notas</vt:lpstr>
      <vt:lpstr>status_col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RAFAEL OLIVEIRA</cp:lastModifiedBy>
  <cp:revision>0</cp:revision>
  <dcterms:created xsi:type="dcterms:W3CDTF">2026-09-07T18:16:26Z</dcterms:created>
  <dcterms:modified xsi:type="dcterms:W3CDTF">2026-09-16T01:21:05Z</dcterms:modified>
  <dc:language>en-US</dc:language>
</cp:coreProperties>
</file>